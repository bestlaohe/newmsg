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36559137-ACE5-461A-8C48-E62AB5D17B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_主控板子3代_生产板3代_2025-1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</calcChain>
</file>

<file path=xl/sharedStrings.xml><?xml version="1.0" encoding="utf-8"?>
<sst xmlns="http://schemas.openxmlformats.org/spreadsheetml/2006/main" count="210" uniqueCount="148">
  <si>
    <t>编号</t>
  </si>
  <si>
    <t>数量</t>
  </si>
  <si>
    <t>备注</t>
  </si>
  <si>
    <t>位号</t>
  </si>
  <si>
    <t>封装</t>
  </si>
  <si>
    <t>LCSC Price</t>
  </si>
  <si>
    <t>LCSC Stock</t>
  </si>
  <si>
    <t>JLCPCB Price</t>
  </si>
  <si>
    <t>JLCPCB Stock</t>
  </si>
  <si>
    <t>1</t>
  </si>
  <si>
    <t>CA-S01</t>
  </si>
  <si>
    <t>ANT1</t>
  </si>
  <si>
    <t>ANT-SMD_L15.0-W3.0</t>
  </si>
  <si>
    <t/>
  </si>
  <si>
    <t>0.004</t>
  </si>
  <si>
    <t>0</t>
  </si>
  <si>
    <t>2</t>
  </si>
  <si>
    <t>4</t>
  </si>
  <si>
    <t>100nF</t>
  </si>
  <si>
    <t>C2,C58,C59,C60</t>
  </si>
  <si>
    <t>C0603</t>
  </si>
  <si>
    <t>0.0152</t>
  </si>
  <si>
    <t>601410</t>
  </si>
  <si>
    <t>89490924</t>
  </si>
  <si>
    <t>3</t>
  </si>
  <si>
    <t>22uF</t>
  </si>
  <si>
    <t>C4</t>
  </si>
  <si>
    <t>0.0575</t>
  </si>
  <si>
    <t>476131</t>
  </si>
  <si>
    <t>10693591</t>
  </si>
  <si>
    <t>1uF</t>
  </si>
  <si>
    <t>C5,C57</t>
  </si>
  <si>
    <t>0.0311</t>
  </si>
  <si>
    <t>112269</t>
  </si>
  <si>
    <t>11906395</t>
  </si>
  <si>
    <t>6</t>
  </si>
  <si>
    <t>BAT60B</t>
  </si>
  <si>
    <t>D8</t>
  </si>
  <si>
    <t>SOD-323_L1.7-W1.3-LS2.6-RD-1</t>
  </si>
  <si>
    <t>0.1355</t>
  </si>
  <si>
    <t>1412</t>
  </si>
  <si>
    <t>0.136</t>
  </si>
  <si>
    <t>29969</t>
  </si>
  <si>
    <t>7</t>
  </si>
  <si>
    <t>AFH34-S12FIA-1H</t>
  </si>
  <si>
    <t>FPC1</t>
  </si>
  <si>
    <t>FPC-SMD_12P-P0.50_THD0509-12CL-GF</t>
  </si>
  <si>
    <t>0.8454</t>
  </si>
  <si>
    <t>1512</t>
  </si>
  <si>
    <t>0.845</t>
  </si>
  <si>
    <t>7548</t>
  </si>
  <si>
    <t>10</t>
  </si>
  <si>
    <t>1MΩ</t>
  </si>
  <si>
    <t>R4,R5</t>
  </si>
  <si>
    <t>R0603</t>
  </si>
  <si>
    <t>0.0067</t>
  </si>
  <si>
    <t>71383</t>
  </si>
  <si>
    <t>8524241</t>
  </si>
  <si>
    <t>11</t>
  </si>
  <si>
    <t>5.1kΩ</t>
  </si>
  <si>
    <t>R58,R59</t>
  </si>
  <si>
    <t>0.0066</t>
  </si>
  <si>
    <t>60036</t>
  </si>
  <si>
    <t>8171975</t>
  </si>
  <si>
    <t>12</t>
  </si>
  <si>
    <t>2.2kΩ</t>
  </si>
  <si>
    <t>R62</t>
  </si>
  <si>
    <t>0.0064</t>
  </si>
  <si>
    <t>21609</t>
  </si>
  <si>
    <t>3307043</t>
  </si>
  <si>
    <t>13</t>
  </si>
  <si>
    <t>30kΩ</t>
  </si>
  <si>
    <t>R66</t>
  </si>
  <si>
    <t>0.0069</t>
  </si>
  <si>
    <t>19073</t>
  </si>
  <si>
    <t>2428632</t>
  </si>
  <si>
    <t>14</t>
  </si>
  <si>
    <t>10kΩ</t>
  </si>
  <si>
    <t>R67</t>
  </si>
  <si>
    <t>68799</t>
  </si>
  <si>
    <t>7440441</t>
  </si>
  <si>
    <t>16</t>
  </si>
  <si>
    <t>TM-2024A</t>
  </si>
  <si>
    <t>SW4</t>
  </si>
  <si>
    <t>SW-SMD_TM-2024A</t>
  </si>
  <si>
    <t>2.665</t>
  </si>
  <si>
    <t>1312</t>
  </si>
  <si>
    <t>4043</t>
  </si>
  <si>
    <t>17</t>
  </si>
  <si>
    <t>MINI MSK12CO2</t>
  </si>
  <si>
    <t>SW5</t>
  </si>
  <si>
    <t>SW-SMD_MSK12CO2</t>
  </si>
  <si>
    <t>1.0242</t>
  </si>
  <si>
    <t>27346</t>
  </si>
  <si>
    <t>110085</t>
  </si>
  <si>
    <t>18</t>
  </si>
  <si>
    <t>CH32V003F4P6</t>
  </si>
  <si>
    <t>U1</t>
  </si>
  <si>
    <t>OLIMEX_IC-FP:TSSOP20_Pitch-0.65mm_6.6x4.5x1.2mm</t>
  </si>
  <si>
    <t>1.7718</t>
  </si>
  <si>
    <t>1229</t>
  </si>
  <si>
    <t>1.772</t>
  </si>
  <si>
    <t>6902</t>
  </si>
  <si>
    <t>19</t>
  </si>
  <si>
    <t>ME6206A33M3G</t>
  </si>
  <si>
    <t>U5</t>
  </si>
  <si>
    <t>SOT-23-3_L2.9-W1.6-P1.90-LS2.8-BR</t>
  </si>
  <si>
    <t>0.3322</t>
  </si>
  <si>
    <t>835</t>
  </si>
  <si>
    <t>0.332</t>
  </si>
  <si>
    <t>9018</t>
  </si>
  <si>
    <t>20</t>
  </si>
  <si>
    <t>XL1278-SMT</t>
  </si>
  <si>
    <t>U24</t>
  </si>
  <si>
    <t>SX1278</t>
  </si>
  <si>
    <t>21</t>
  </si>
  <si>
    <t>SS8050</t>
  </si>
  <si>
    <t>U25</t>
  </si>
  <si>
    <t>SOT-23-3_L2.9-W1.3-P1.90-LS2.4-BR</t>
  </si>
  <si>
    <t>0.0727</t>
  </si>
  <si>
    <t>10857</t>
  </si>
  <si>
    <t>546075</t>
  </si>
  <si>
    <t>22</t>
  </si>
  <si>
    <t>CS-1254R-02</t>
  </si>
  <si>
    <t>U29</t>
  </si>
  <si>
    <t>CONN-SMD_2P-P1.00_CS-1254R-02</t>
  </si>
  <si>
    <t>0.5538</t>
  </si>
  <si>
    <t>148</t>
  </si>
  <si>
    <t>0.554</t>
  </si>
  <si>
    <t>745</t>
  </si>
  <si>
    <t>23</t>
  </si>
  <si>
    <t>TP4057-42-SOT26-R</t>
  </si>
  <si>
    <t>U37</t>
  </si>
  <si>
    <t>SOT-23-6_L2.9-W1.6-P0.95-LS2.8-BL</t>
  </si>
  <si>
    <t>0.8671</t>
  </si>
  <si>
    <t>4162</t>
  </si>
  <si>
    <t>0.867</t>
  </si>
  <si>
    <t>27867</t>
  </si>
  <si>
    <t>25</t>
  </si>
  <si>
    <t>HX TYPE-C 16PIN</t>
  </si>
  <si>
    <t>USB2</t>
  </si>
  <si>
    <t>USB-C-SMD_TYPE-C16PIN</t>
  </si>
  <si>
    <t>0.4811</t>
  </si>
  <si>
    <t>4681</t>
  </si>
  <si>
    <t>0.481</t>
  </si>
  <si>
    <t>16437</t>
  </si>
  <si>
    <t>完成</t>
  </si>
  <si>
    <t>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</si>
</sst>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145" zoomScaleNormal="145" workbookViewId="0">
      <selection activeCell="G14" sqref="G14"/>
    </sheetView>
  </sheetViews>
  <sheetFormatPr defaultRowHeight="13.5" x14ac:dyDescent="0.15"/>
  <cols>
    <col min="1" max="9" width="20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s="1" customFormat="1" x14ac:dyDescent="0.15">
      <c r="A2" s="1" t="s">
        <v>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14</v>
      </c>
      <c r="I2" s="1" t="s">
        <v>15</v>
      </c>
      <c r="J2" s="1" t="s">
        <v>147</v>
      </c>
      <c r="K2" s="1">
        <v>59.5</v>
      </c>
    </row>
    <row r="3" spans="1:11" s="2" customFormat="1" x14ac:dyDescent="0.1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21</v>
      </c>
      <c r="I3" s="2" t="s">
        <v>23</v>
      </c>
      <c r="J3" s="2" t="s">
        <v>146</v>
      </c>
      <c r="K3" s="2">
        <v>3.16</v>
      </c>
    </row>
    <row r="4" spans="1:11" s="1" customFormat="1" x14ac:dyDescent="0.15">
      <c r="A4" s="1" t="s">
        <v>24</v>
      </c>
      <c r="B4" s="1" t="s">
        <v>9</v>
      </c>
      <c r="C4" s="1" t="s">
        <v>25</v>
      </c>
      <c r="D4" s="1" t="s">
        <v>26</v>
      </c>
      <c r="E4" s="1" t="s">
        <v>20</v>
      </c>
      <c r="F4" s="1" t="s">
        <v>27</v>
      </c>
      <c r="G4" s="1" t="s">
        <v>28</v>
      </c>
      <c r="H4" s="1" t="s">
        <v>27</v>
      </c>
      <c r="I4" s="1" t="s">
        <v>29</v>
      </c>
      <c r="J4" s="1" t="s">
        <v>146</v>
      </c>
      <c r="K4" s="1">
        <v>2.5</v>
      </c>
    </row>
    <row r="5" spans="1:11" s="1" customFormat="1" x14ac:dyDescent="0.15">
      <c r="A5" s="1" t="s">
        <v>17</v>
      </c>
      <c r="B5" s="1" t="s">
        <v>16</v>
      </c>
      <c r="C5" s="1" t="s">
        <v>30</v>
      </c>
      <c r="D5" s="1" t="s">
        <v>31</v>
      </c>
      <c r="E5" s="1" t="s">
        <v>20</v>
      </c>
      <c r="F5" s="1" t="s">
        <v>32</v>
      </c>
      <c r="G5" s="1" t="s">
        <v>33</v>
      </c>
      <c r="H5" s="1" t="s">
        <v>32</v>
      </c>
      <c r="I5" s="1" t="s">
        <v>34</v>
      </c>
      <c r="J5" s="1" t="s">
        <v>146</v>
      </c>
      <c r="K5" s="1">
        <v>2</v>
      </c>
    </row>
    <row r="6" spans="1:11" s="1" customFormat="1" x14ac:dyDescent="0.15">
      <c r="A6" s="1" t="s">
        <v>35</v>
      </c>
      <c r="B6" s="1" t="s">
        <v>9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146</v>
      </c>
      <c r="K6" s="1">
        <v>5</v>
      </c>
    </row>
    <row r="7" spans="1:11" s="1" customFormat="1" x14ac:dyDescent="0.15">
      <c r="A7" s="1" t="s">
        <v>43</v>
      </c>
      <c r="B7" s="1" t="s">
        <v>9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146</v>
      </c>
      <c r="K7" s="1">
        <v>5</v>
      </c>
    </row>
    <row r="8" spans="1:11" s="1" customFormat="1" x14ac:dyDescent="0.15">
      <c r="A8" s="1" t="s">
        <v>51</v>
      </c>
      <c r="B8" s="1" t="s">
        <v>16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55</v>
      </c>
      <c r="I8" s="1" t="s">
        <v>57</v>
      </c>
      <c r="J8" s="1" t="s">
        <v>146</v>
      </c>
      <c r="K8" s="1">
        <v>0.81</v>
      </c>
    </row>
    <row r="9" spans="1:11" s="1" customFormat="1" x14ac:dyDescent="0.15">
      <c r="A9" s="1" t="s">
        <v>58</v>
      </c>
      <c r="B9" s="1" t="s">
        <v>16</v>
      </c>
      <c r="C9" s="1" t="s">
        <v>59</v>
      </c>
      <c r="D9" s="1" t="s">
        <v>60</v>
      </c>
      <c r="E9" s="1" t="s">
        <v>54</v>
      </c>
      <c r="F9" s="1" t="s">
        <v>61</v>
      </c>
      <c r="G9" s="1" t="s">
        <v>62</v>
      </c>
      <c r="H9" s="1" t="s">
        <v>61</v>
      </c>
      <c r="I9" s="1" t="s">
        <v>63</v>
      </c>
      <c r="J9" s="1" t="s">
        <v>146</v>
      </c>
      <c r="K9" s="1">
        <v>0.81</v>
      </c>
    </row>
    <row r="10" spans="1:11" s="1" customFormat="1" x14ac:dyDescent="0.15">
      <c r="A10" s="1" t="s">
        <v>64</v>
      </c>
      <c r="B10" s="1" t="s">
        <v>9</v>
      </c>
      <c r="C10" s="1" t="s">
        <v>65</v>
      </c>
      <c r="D10" s="1" t="s">
        <v>66</v>
      </c>
      <c r="E10" s="1" t="s">
        <v>54</v>
      </c>
      <c r="F10" s="1" t="s">
        <v>67</v>
      </c>
      <c r="G10" s="1" t="s">
        <v>68</v>
      </c>
      <c r="H10" s="1" t="s">
        <v>67</v>
      </c>
      <c r="I10" s="1" t="s">
        <v>69</v>
      </c>
      <c r="J10" s="1" t="s">
        <v>146</v>
      </c>
      <c r="K10" s="1">
        <v>0.81</v>
      </c>
    </row>
    <row r="11" spans="1:11" s="1" customFormat="1" x14ac:dyDescent="0.15">
      <c r="A11" s="1" t="s">
        <v>70</v>
      </c>
      <c r="B11" s="1" t="s">
        <v>9</v>
      </c>
      <c r="C11" s="1" t="s">
        <v>71</v>
      </c>
      <c r="D11" s="1" t="s">
        <v>72</v>
      </c>
      <c r="E11" s="1" t="s">
        <v>54</v>
      </c>
      <c r="F11" s="1" t="s">
        <v>73</v>
      </c>
      <c r="G11" s="1" t="s">
        <v>74</v>
      </c>
      <c r="H11" s="1" t="s">
        <v>73</v>
      </c>
      <c r="I11" s="1" t="s">
        <v>75</v>
      </c>
      <c r="J11" s="1" t="s">
        <v>146</v>
      </c>
      <c r="K11" s="1">
        <v>0.81</v>
      </c>
    </row>
    <row r="12" spans="1:11" s="1" customFormat="1" x14ac:dyDescent="0.15">
      <c r="A12" s="1" t="s">
        <v>76</v>
      </c>
      <c r="B12" s="1" t="s">
        <v>9</v>
      </c>
      <c r="C12" s="1" t="s">
        <v>77</v>
      </c>
      <c r="D12" s="1" t="s">
        <v>78</v>
      </c>
      <c r="E12" s="1" t="s">
        <v>54</v>
      </c>
      <c r="F12" s="1" t="s">
        <v>55</v>
      </c>
      <c r="G12" s="1" t="s">
        <v>79</v>
      </c>
      <c r="H12" s="1" t="s">
        <v>55</v>
      </c>
      <c r="I12" s="1" t="s">
        <v>80</v>
      </c>
      <c r="J12" s="1" t="s">
        <v>146</v>
      </c>
      <c r="K12" s="1">
        <v>0.81</v>
      </c>
    </row>
    <row r="13" spans="1:11" s="1" customFormat="1" x14ac:dyDescent="0.15">
      <c r="A13" s="1" t="s">
        <v>81</v>
      </c>
      <c r="B13" s="1" t="s">
        <v>9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86</v>
      </c>
      <c r="H13" s="1" t="s">
        <v>85</v>
      </c>
      <c r="I13" s="1" t="s">
        <v>87</v>
      </c>
      <c r="J13" s="1" t="s">
        <v>146</v>
      </c>
      <c r="K13" s="1">
        <v>32.200000000000003</v>
      </c>
    </row>
    <row r="14" spans="1:11" s="1" customFormat="1" x14ac:dyDescent="0.15">
      <c r="A14" s="1" t="s">
        <v>88</v>
      </c>
      <c r="B14" s="1" t="s">
        <v>9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92</v>
      </c>
      <c r="I14" s="1" t="s">
        <v>94</v>
      </c>
      <c r="J14" s="1" t="s">
        <v>146</v>
      </c>
      <c r="K14" s="1">
        <v>13.9</v>
      </c>
    </row>
    <row r="15" spans="1:11" s="1" customFormat="1" x14ac:dyDescent="0.15">
      <c r="A15" s="1" t="s">
        <v>95</v>
      </c>
      <c r="B15" s="1" t="s">
        <v>9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102</v>
      </c>
      <c r="J15" s="1" t="s">
        <v>146</v>
      </c>
      <c r="K15" s="1">
        <v>30</v>
      </c>
    </row>
    <row r="16" spans="1:11" s="1" customFormat="1" x14ac:dyDescent="0.15">
      <c r="A16" s="1" t="s">
        <v>103</v>
      </c>
      <c r="B16" s="1" t="s">
        <v>9</v>
      </c>
      <c r="C16" s="1" t="s">
        <v>104</v>
      </c>
      <c r="D16" s="1" t="s">
        <v>105</v>
      </c>
      <c r="E16" s="1" t="s">
        <v>106</v>
      </c>
      <c r="F16" s="1" t="s">
        <v>107</v>
      </c>
      <c r="G16" s="1" t="s">
        <v>108</v>
      </c>
      <c r="H16" s="1" t="s">
        <v>109</v>
      </c>
      <c r="I16" s="1" t="s">
        <v>110</v>
      </c>
      <c r="J16" s="1" t="s">
        <v>146</v>
      </c>
      <c r="K16" s="1">
        <v>8</v>
      </c>
    </row>
    <row r="17" spans="1:11" s="1" customFormat="1" x14ac:dyDescent="0.15">
      <c r="A17" s="1" t="s">
        <v>111</v>
      </c>
      <c r="B17" s="1" t="s">
        <v>9</v>
      </c>
      <c r="C17" s="1" t="s">
        <v>112</v>
      </c>
      <c r="D17" s="1" t="s">
        <v>113</v>
      </c>
      <c r="E17" s="1" t="s">
        <v>114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146</v>
      </c>
      <c r="K17" s="1">
        <v>319</v>
      </c>
    </row>
    <row r="18" spans="1:11" s="1" customFormat="1" x14ac:dyDescent="0.15">
      <c r="A18" s="1" t="s">
        <v>115</v>
      </c>
      <c r="B18" s="1" t="s">
        <v>9</v>
      </c>
      <c r="C18" s="1" t="s">
        <v>116</v>
      </c>
      <c r="D18" s="1" t="s">
        <v>117</v>
      </c>
      <c r="E18" s="1" t="s">
        <v>118</v>
      </c>
      <c r="F18" s="1" t="s">
        <v>119</v>
      </c>
      <c r="G18" s="1" t="s">
        <v>120</v>
      </c>
      <c r="H18" s="1" t="s">
        <v>119</v>
      </c>
      <c r="I18" s="1" t="s">
        <v>121</v>
      </c>
      <c r="J18" s="1" t="s">
        <v>146</v>
      </c>
      <c r="K18" s="1">
        <v>3</v>
      </c>
    </row>
    <row r="19" spans="1:11" s="1" customFormat="1" x14ac:dyDescent="0.15">
      <c r="A19" s="1" t="s">
        <v>122</v>
      </c>
      <c r="B19" s="1" t="s">
        <v>9</v>
      </c>
      <c r="C19" s="1" t="s">
        <v>123</v>
      </c>
      <c r="D19" s="1" t="s">
        <v>124</v>
      </c>
      <c r="E19" s="1" t="s">
        <v>125</v>
      </c>
      <c r="F19" s="1" t="s">
        <v>126</v>
      </c>
      <c r="G19" s="1" t="s">
        <v>127</v>
      </c>
      <c r="H19" s="1" t="s">
        <v>128</v>
      </c>
      <c r="I19" s="1" t="s">
        <v>129</v>
      </c>
      <c r="J19" s="1" t="s">
        <v>146</v>
      </c>
      <c r="K19" s="1">
        <v>3.49</v>
      </c>
    </row>
    <row r="20" spans="1:11" s="1" customFormat="1" x14ac:dyDescent="0.15">
      <c r="A20" s="1" t="s">
        <v>130</v>
      </c>
      <c r="B20" s="1" t="s">
        <v>9</v>
      </c>
      <c r="C20" s="1" t="s">
        <v>131</v>
      </c>
      <c r="D20" s="1" t="s">
        <v>132</v>
      </c>
      <c r="E20" s="1" t="s">
        <v>133</v>
      </c>
      <c r="F20" s="1" t="s">
        <v>134</v>
      </c>
      <c r="G20" s="1" t="s">
        <v>135</v>
      </c>
      <c r="H20" s="1" t="s">
        <v>136</v>
      </c>
      <c r="I20" s="1" t="s">
        <v>137</v>
      </c>
      <c r="J20" s="1" t="s">
        <v>146</v>
      </c>
      <c r="K20" s="1">
        <v>3.9</v>
      </c>
    </row>
    <row r="21" spans="1:11" s="1" customFormat="1" x14ac:dyDescent="0.15">
      <c r="A21" s="1" t="s">
        <v>138</v>
      </c>
      <c r="B21" s="1" t="s">
        <v>9</v>
      </c>
      <c r="C21" s="1" t="s">
        <v>139</v>
      </c>
      <c r="D21" s="1" t="s">
        <v>140</v>
      </c>
      <c r="E21" s="1" t="s">
        <v>141</v>
      </c>
      <c r="F21" s="1" t="s">
        <v>142</v>
      </c>
      <c r="G21" s="1" t="s">
        <v>143</v>
      </c>
      <c r="H21" s="1" t="s">
        <v>144</v>
      </c>
      <c r="I21" s="1" t="s">
        <v>145</v>
      </c>
      <c r="J21" s="1" t="s">
        <v>146</v>
      </c>
      <c r="K21" s="1">
        <v>7</v>
      </c>
    </row>
    <row r="22" spans="1:11" x14ac:dyDescent="0.15">
      <c r="A22" t="s">
        <v>13</v>
      </c>
      <c r="K22">
        <f>SUM(K2:K21)</f>
        <v>501.7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BOM_主控板子3代_生产板3代_2025-11-13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2025-11-13T03:05:06Z</dcterms:created>
  <dcterms:modified xsi:type="dcterms:W3CDTF">2025-11-15T13:23:48Z</dcterms:modified>
  <cp:category/>
</cp:coreProperties>
</file>